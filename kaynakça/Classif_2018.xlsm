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\OneDrive - Sveučilište u Zagrebu, Građevinski fakultet\Znanost\Gradjevinar\"/>
    </mc:Choice>
  </mc:AlternateContent>
  <xr:revisionPtr revIDLastSave="138" documentId="6_{904D760A-201F-4FFA-9AA6-509CC8ED7953}" xr6:coauthVersionLast="40" xr6:coauthVersionMax="40" xr10:uidLastSave="{5626F98F-527F-4CAA-A9ED-05FB3022206C}"/>
  <bookViews>
    <workbookView xWindow="120" yWindow="90" windowWidth="21075" windowHeight="8250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cc">Sheet1!$E$10</definedName>
    <definedName name="cu">Sheet1!$E$9</definedName>
    <definedName name="D10_">Sheet1!$E$8</definedName>
    <definedName name="D30_">Sheet1!$E$7</definedName>
    <definedName name="D60_">Sheet1!$E$6</definedName>
    <definedName name="fines">Sheet1!$B$8</definedName>
    <definedName name="gravel">Sheet1!$B$6</definedName>
    <definedName name="pijesak">Sheet1!$B$7</definedName>
    <definedName name="sand">Sheet1!$B$7</definedName>
    <definedName name="send">Sheet1!$B$7</definedName>
    <definedName name="sljunak">Sheet1!$B$6</definedName>
    <definedName name="total">Sheet1!$B$9</definedName>
    <definedName name="Ukupno">Sheet1!$B$9</definedName>
    <definedName name="wL">Sheet1!$H$6</definedName>
    <definedName name="wP">Sheet1!$H$7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8" i="1" l="1"/>
  <c r="B8" i="1" l="1"/>
  <c r="E9" i="1" l="1"/>
  <c r="E10" i="1" l="1"/>
</calcChain>
</file>

<file path=xl/sharedStrings.xml><?xml version="1.0" encoding="utf-8"?>
<sst xmlns="http://schemas.openxmlformats.org/spreadsheetml/2006/main" count="45" uniqueCount="40">
  <si>
    <t>KRUPNOZRNO TLO</t>
  </si>
  <si>
    <t>SITNOZRNO TLO</t>
  </si>
  <si>
    <t>ŠLJUNAK - G</t>
  </si>
  <si>
    <t>PIJESAK - S</t>
  </si>
  <si>
    <t>PRAH - M</t>
  </si>
  <si>
    <t>GLINA - C</t>
  </si>
  <si>
    <t>European Soil Classification System (ESCS)</t>
  </si>
  <si>
    <r>
      <t>D</t>
    </r>
    <r>
      <rPr>
        <vertAlign val="subscript"/>
        <sz val="12"/>
        <color theme="1"/>
        <rFont val="Times New Roman"/>
        <family val="1"/>
        <charset val="238"/>
      </rPr>
      <t>60</t>
    </r>
  </si>
  <si>
    <r>
      <t>D</t>
    </r>
    <r>
      <rPr>
        <vertAlign val="subscript"/>
        <sz val="12"/>
        <color theme="1"/>
        <rFont val="Times New Roman"/>
        <family val="1"/>
        <charset val="238"/>
      </rPr>
      <t>30</t>
    </r>
  </si>
  <si>
    <r>
      <t>D</t>
    </r>
    <r>
      <rPr>
        <vertAlign val="subscript"/>
        <sz val="12"/>
        <color theme="1"/>
        <rFont val="Times New Roman"/>
        <family val="1"/>
        <charset val="238"/>
      </rPr>
      <t>10</t>
    </r>
  </si>
  <si>
    <r>
      <t>c</t>
    </r>
    <r>
      <rPr>
        <vertAlign val="subscript"/>
        <sz val="12"/>
        <color theme="1"/>
        <rFont val="Times New Roman"/>
        <family val="1"/>
        <charset val="238"/>
      </rPr>
      <t>u</t>
    </r>
  </si>
  <si>
    <r>
      <t>c</t>
    </r>
    <r>
      <rPr>
        <vertAlign val="subscript"/>
        <sz val="12"/>
        <color theme="1"/>
        <rFont val="Times New Roman"/>
        <family val="1"/>
        <charset val="238"/>
      </rPr>
      <t>c</t>
    </r>
  </si>
  <si>
    <t>ASTM D 2487-11: Standard Practice for Classification of Soils for Engineering Purposes (Unified Soil Classification System) ASTM International, West Conshohocken, PA, 2011.</t>
  </si>
  <si>
    <r>
      <rPr>
        <i/>
        <sz val="12"/>
        <color theme="1"/>
        <rFont val="Times New Roman"/>
        <family val="1"/>
        <charset val="238"/>
      </rPr>
      <t>w</t>
    </r>
    <r>
      <rPr>
        <vertAlign val="subscript"/>
        <sz val="12"/>
        <color theme="1"/>
        <rFont val="Times New Roman"/>
        <family val="1"/>
        <charset val="238"/>
      </rPr>
      <t>L</t>
    </r>
  </si>
  <si>
    <r>
      <rPr>
        <i/>
        <sz val="12"/>
        <color theme="1"/>
        <rFont val="Times New Roman"/>
        <family val="1"/>
        <charset val="238"/>
      </rPr>
      <t>w</t>
    </r>
    <r>
      <rPr>
        <vertAlign val="subscript"/>
        <sz val="12"/>
        <color theme="1"/>
        <rFont val="Times New Roman"/>
        <family val="1"/>
        <charset val="238"/>
      </rPr>
      <t>P</t>
    </r>
  </si>
  <si>
    <r>
      <rPr>
        <i/>
        <sz val="12"/>
        <color theme="1"/>
        <rFont val="Times New Roman"/>
        <family val="1"/>
        <charset val="238"/>
      </rPr>
      <t>I</t>
    </r>
    <r>
      <rPr>
        <vertAlign val="subscript"/>
        <sz val="12"/>
        <color theme="1"/>
        <rFont val="Times New Roman"/>
        <family val="1"/>
        <charset val="238"/>
      </rPr>
      <t>P</t>
    </r>
  </si>
  <si>
    <t>Unified Soil Classification System (USCS)</t>
  </si>
  <si>
    <t>Unified and European Soil Classification System (USCS i ESCS)</t>
  </si>
  <si>
    <t>Organic soil (y/n)</t>
  </si>
  <si>
    <t>% gravel</t>
  </si>
  <si>
    <t>% sand</t>
  </si>
  <si>
    <t>% fines</t>
  </si>
  <si>
    <t>References</t>
  </si>
  <si>
    <t>Group Name</t>
  </si>
  <si>
    <t>Symbol</t>
  </si>
  <si>
    <t xml:space="preserve">EN ISO 14688-2:2018: Geotechnical investigation and testing – Identification and classification of soil – Part 2: Principles for a classification. CEN, 2018. </t>
  </si>
  <si>
    <t>Kovačević, M. S., Jurić-Kaćunić, D., Librić, L., Ivoš, G.:Engineering soil classification according to EN ISO 14688-2:2018, GRAĐEVINAR 70 (2018) 10, pp. 883-879.</t>
  </si>
  <si>
    <t>y</t>
  </si>
  <si>
    <t>Coarse-grained soil (less than 50% fines)</t>
  </si>
  <si>
    <t>Gravel (percent of gravel is greater than percent of sand)</t>
  </si>
  <si>
    <t>Gravel with 5 to 12 % fines</t>
  </si>
  <si>
    <t>Well-graded gravel, fines are clay</t>
  </si>
  <si>
    <t>GW-GC</t>
  </si>
  <si>
    <t>with organic fines</t>
  </si>
  <si>
    <t>Percent of sand less than 15% doesn't have influence on group name</t>
  </si>
  <si>
    <t>Well-graded gravel with clay</t>
  </si>
  <si>
    <t>Gravel with 5 to 15 % fines</t>
  </si>
  <si>
    <t>Poorly graded gravel, fines are clay</t>
  </si>
  <si>
    <t>Organic clayey poorly graded GRAVEL</t>
  </si>
  <si>
    <t>orclGrP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</si>
</sst>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2"/>
      <color rgb="FFFF0000"/>
      <name val="Times New Roman"/>
      <family val="1"/>
      <charset val="238"/>
    </font>
    <font>
      <b/>
      <sz val="14"/>
      <color theme="1"/>
      <name val="Times New Roman"/>
      <family val="1"/>
      <charset val="238"/>
    </font>
    <font>
      <sz val="12"/>
      <color theme="1"/>
      <name val="Times New Roman"/>
      <family val="1"/>
      <charset val="238"/>
    </font>
    <font>
      <b/>
      <sz val="12"/>
      <color theme="1"/>
      <name val="Times New Roman"/>
      <family val="1"/>
      <charset val="238"/>
    </font>
    <font>
      <b/>
      <sz val="16"/>
      <color theme="1"/>
      <name val="Times New Roman"/>
      <family val="1"/>
      <charset val="238"/>
    </font>
    <font>
      <sz val="12"/>
      <color theme="5" tint="-0.499984740745262"/>
      <name val="Times New Roman"/>
      <family val="1"/>
      <charset val="238"/>
    </font>
    <font>
      <b/>
      <sz val="12"/>
      <color theme="5" tint="-0.499984740745262"/>
      <name val="Times New Roman"/>
      <family val="1"/>
      <charset val="238"/>
    </font>
    <font>
      <b/>
      <sz val="14"/>
      <color theme="5" tint="-0.499984740745262"/>
      <name val="Times New Roman"/>
      <family val="1"/>
      <charset val="238"/>
    </font>
    <font>
      <sz val="11"/>
      <color theme="1"/>
      <name val="Times New Roman"/>
      <family val="1"/>
      <charset val="238"/>
    </font>
    <font>
      <vertAlign val="subscript"/>
      <sz val="12"/>
      <color theme="1"/>
      <name val="Times New Roman"/>
      <family val="1"/>
      <charset val="238"/>
    </font>
    <font>
      <b/>
      <sz val="16"/>
      <name val="Times New Roman"/>
      <family val="1"/>
      <charset val="238"/>
    </font>
    <font>
      <sz val="12"/>
      <name val="Times New Roman"/>
      <family val="1"/>
      <charset val="238"/>
    </font>
    <font>
      <sz val="12"/>
      <name val="Calibri"/>
      <family val="2"/>
      <charset val="238"/>
      <scheme val="minor"/>
    </font>
    <font>
      <i/>
      <sz val="12"/>
      <color theme="1"/>
      <name val="Times New Roman"/>
      <family val="1"/>
      <charset val="238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8">
    <xf numFmtId="0" fontId="0" fillId="0" borderId="0" xfId="0"/>
    <xf numFmtId="0" fontId="2" fillId="0" borderId="0" xfId="0" applyFont="1"/>
    <xf numFmtId="0" fontId="5" fillId="0" borderId="0" xfId="0" applyFont="1"/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/>
    </xf>
    <xf numFmtId="0" fontId="11" fillId="8" borderId="0" xfId="0" applyFont="1" applyFill="1" applyBorder="1"/>
    <xf numFmtId="0" fontId="5" fillId="8" borderId="0" xfId="0" applyFont="1" applyFill="1" applyBorder="1" applyAlignment="1">
      <alignment vertical="center"/>
    </xf>
    <xf numFmtId="0" fontId="11" fillId="8" borderId="0" xfId="0" applyFont="1" applyFill="1" applyBorder="1" applyAlignment="1">
      <alignment vertical="center"/>
    </xf>
    <xf numFmtId="0" fontId="2" fillId="8" borderId="0" xfId="0" applyFont="1" applyFill="1" applyBorder="1" applyAlignment="1">
      <alignment vertical="center"/>
    </xf>
    <xf numFmtId="0" fontId="15" fillId="8" borderId="0" xfId="0" applyFont="1" applyFill="1" applyBorder="1" applyAlignment="1">
      <alignment vertical="center"/>
    </xf>
    <xf numFmtId="0" fontId="0" fillId="8" borderId="0" xfId="0" applyFill="1" applyBorder="1"/>
    <xf numFmtId="0" fontId="2" fillId="8" borderId="8" xfId="0" applyFont="1" applyFill="1" applyBorder="1" applyAlignment="1">
      <alignment vertical="center"/>
    </xf>
    <xf numFmtId="0" fontId="0" fillId="8" borderId="8" xfId="0" applyFill="1" applyBorder="1"/>
    <xf numFmtId="0" fontId="5" fillId="8" borderId="8" xfId="0" applyFont="1" applyFill="1" applyBorder="1" applyAlignment="1">
      <alignment vertical="center"/>
    </xf>
    <xf numFmtId="0" fontId="9" fillId="8" borderId="0" xfId="0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vertical="center"/>
    </xf>
    <xf numFmtId="0" fontId="7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5" fillId="8" borderId="15" xfId="0" applyFont="1" applyFill="1" applyBorder="1" applyAlignment="1">
      <alignment vertical="center"/>
    </xf>
    <xf numFmtId="0" fontId="11" fillId="8" borderId="15" xfId="0" applyFont="1" applyFill="1" applyBorder="1" applyAlignment="1">
      <alignment vertical="center"/>
    </xf>
    <xf numFmtId="0" fontId="2" fillId="8" borderId="15" xfId="0" applyFont="1" applyFill="1" applyBorder="1" applyAlignment="1">
      <alignment vertical="center"/>
    </xf>
    <xf numFmtId="0" fontId="4" fillId="8" borderId="17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0" fillId="8" borderId="15" xfId="0" applyFill="1" applyBorder="1"/>
    <xf numFmtId="0" fontId="10" fillId="8" borderId="15" xfId="0" applyFont="1" applyFill="1" applyBorder="1" applyAlignment="1">
      <alignment horizontal="center" vertical="center"/>
    </xf>
    <xf numFmtId="0" fontId="0" fillId="0" borderId="14" xfId="0" applyBorder="1"/>
    <xf numFmtId="0" fontId="0" fillId="0" borderId="0" xfId="0" applyBorder="1"/>
    <xf numFmtId="0" fontId="5" fillId="9" borderId="1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12" xfId="0" applyFont="1" applyFill="1" applyBorder="1" applyAlignment="1">
      <alignment horizontal="center" vertical="center"/>
    </xf>
    <xf numFmtId="164" fontId="9" fillId="2" borderId="2" xfId="0" applyNumberFormat="1" applyFont="1" applyFill="1" applyBorder="1" applyAlignment="1">
      <alignment horizontal="center" vertical="center"/>
    </xf>
    <xf numFmtId="164" fontId="9" fillId="2" borderId="6" xfId="0" applyNumberFormat="1" applyFont="1" applyFill="1" applyBorder="1" applyAlignment="1">
      <alignment horizontal="center" vertical="center"/>
    </xf>
    <xf numFmtId="2" fontId="9" fillId="10" borderId="13" xfId="0" applyNumberFormat="1" applyFont="1" applyFill="1" applyBorder="1" applyAlignment="1">
      <alignment horizontal="center" vertical="center"/>
    </xf>
    <xf numFmtId="0" fontId="0" fillId="8" borderId="0" xfId="0" applyFill="1" applyBorder="1" applyAlignment="1">
      <alignment vertical="center"/>
    </xf>
    <xf numFmtId="0" fontId="2" fillId="10" borderId="9" xfId="0" applyFont="1" applyFill="1" applyBorder="1" applyAlignment="1">
      <alignment vertical="center"/>
    </xf>
    <xf numFmtId="0" fontId="2" fillId="10" borderId="18" xfId="0" applyFont="1" applyFill="1" applyBorder="1" applyAlignment="1">
      <alignment vertical="center"/>
    </xf>
    <xf numFmtId="0" fontId="7" fillId="8" borderId="20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 vertical="center"/>
    </xf>
    <xf numFmtId="0" fontId="5" fillId="8" borderId="20" xfId="0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7" borderId="23" xfId="0" applyFont="1" applyFill="1" applyBorder="1" applyAlignment="1">
      <alignment horizontal="center" vertical="center"/>
    </xf>
    <xf numFmtId="0" fontId="5" fillId="8" borderId="20" xfId="0" applyFont="1" applyFill="1" applyBorder="1" applyAlignment="1">
      <alignment vertical="center"/>
    </xf>
    <xf numFmtId="0" fontId="3" fillId="8" borderId="20" xfId="1" applyFont="1" applyFill="1" applyBorder="1" applyAlignment="1">
      <alignment vertical="center"/>
    </xf>
    <xf numFmtId="0" fontId="0" fillId="8" borderId="20" xfId="0" applyFont="1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" fillId="8" borderId="20" xfId="0" applyFont="1" applyFill="1" applyBorder="1" applyAlignment="1">
      <alignment vertical="center"/>
    </xf>
    <xf numFmtId="0" fontId="0" fillId="8" borderId="20" xfId="0" applyFill="1" applyBorder="1"/>
    <xf numFmtId="0" fontId="4" fillId="10" borderId="19" xfId="0" applyFont="1" applyFill="1" applyBorder="1"/>
    <xf numFmtId="0" fontId="8" fillId="8" borderId="20" xfId="0" applyFont="1" applyFill="1" applyBorder="1" applyAlignment="1">
      <alignment vertical="center"/>
    </xf>
    <xf numFmtId="0" fontId="8" fillId="8" borderId="20" xfId="0" applyFont="1" applyFill="1" applyBorder="1"/>
    <xf numFmtId="0" fontId="4" fillId="8" borderId="24" xfId="0" applyFont="1" applyFill="1" applyBorder="1" applyAlignment="1">
      <alignment vertical="center"/>
    </xf>
    <xf numFmtId="0" fontId="10" fillId="8" borderId="20" xfId="0" applyFont="1" applyFill="1" applyBorder="1" applyAlignment="1">
      <alignment vertical="center"/>
    </xf>
    <xf numFmtId="0" fontId="9" fillId="8" borderId="20" xfId="0" applyFont="1" applyFill="1" applyBorder="1" applyAlignment="1">
      <alignment vertical="center"/>
    </xf>
    <xf numFmtId="0" fontId="14" fillId="8" borderId="25" xfId="0" applyFont="1" applyFill="1" applyBorder="1" applyAlignment="1">
      <alignment vertical="center"/>
    </xf>
    <xf numFmtId="2" fontId="6" fillId="4" borderId="2" xfId="0" applyNumberFormat="1" applyFont="1" applyFill="1" applyBorder="1" applyAlignment="1" applyProtection="1">
      <alignment horizontal="center" vertical="center"/>
      <protection locked="0"/>
    </xf>
    <xf numFmtId="2" fontId="6" fillId="4" borderId="11" xfId="0" applyNumberFormat="1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 applyProtection="1">
      <alignment horizontal="center" vertical="center"/>
      <protection locked="0"/>
    </xf>
    <xf numFmtId="0" fontId="6" fillId="2" borderId="11" xfId="0" applyFont="1" applyFill="1" applyBorder="1" applyAlignment="1" applyProtection="1">
      <alignment horizontal="center" vertical="center"/>
      <protection locked="0"/>
    </xf>
    <xf numFmtId="2" fontId="6" fillId="10" borderId="2" xfId="0" applyNumberFormat="1" applyFont="1" applyFill="1" applyBorder="1" applyAlignment="1" applyProtection="1">
      <alignment horizontal="center" vertical="center"/>
      <protection locked="0"/>
    </xf>
    <xf numFmtId="2" fontId="6" fillId="10" borderId="16" xfId="0" applyNumberFormat="1" applyFont="1" applyFill="1" applyBorder="1" applyAlignment="1" applyProtection="1">
      <alignment horizontal="center" vertical="center"/>
      <protection locked="0"/>
    </xf>
    <xf numFmtId="0" fontId="6" fillId="5" borderId="7" xfId="0" applyFont="1" applyFill="1" applyBorder="1" applyAlignment="1" applyProtection="1">
      <alignment horizontal="center" vertical="center"/>
    </xf>
    <xf numFmtId="0" fontId="13" fillId="10" borderId="19" xfId="0" applyFont="1" applyFill="1" applyBorder="1" applyAlignment="1">
      <alignment horizontal="center"/>
    </xf>
    <xf numFmtId="0" fontId="13" fillId="10" borderId="9" xfId="0" applyFont="1" applyFill="1" applyBorder="1" applyAlignment="1">
      <alignment horizontal="center"/>
    </xf>
    <xf numFmtId="0" fontId="13" fillId="10" borderId="18" xfId="0" applyFont="1" applyFill="1" applyBorder="1" applyAlignment="1">
      <alignment horizontal="center"/>
    </xf>
    <xf numFmtId="0" fontId="14" fillId="8" borderId="24" xfId="0" applyFont="1" applyFill="1" applyBorder="1" applyAlignment="1">
      <alignment horizontal="justify" vertical="center" wrapText="1"/>
    </xf>
    <xf numFmtId="0" fontId="14" fillId="8" borderId="8" xfId="0" applyFont="1" applyFill="1" applyBorder="1" applyAlignment="1">
      <alignment horizontal="justify" vertical="center" wrapText="1"/>
    </xf>
    <xf numFmtId="0" fontId="14" fillId="8" borderId="17" xfId="0" applyFont="1" applyFill="1" applyBorder="1" applyAlignment="1">
      <alignment horizontal="justify" vertical="center" wrapText="1"/>
    </xf>
    <xf numFmtId="0" fontId="14" fillId="8" borderId="20" xfId="0" applyFont="1" applyFill="1" applyBorder="1" applyAlignment="1">
      <alignment horizontal="justify" vertical="center" wrapText="1"/>
    </xf>
    <xf numFmtId="0" fontId="14" fillId="8" borderId="0" xfId="0" applyFont="1" applyFill="1" applyBorder="1" applyAlignment="1">
      <alignment horizontal="justify" vertical="center" wrapText="1"/>
    </xf>
    <xf numFmtId="0" fontId="14" fillId="8" borderId="15" xfId="0" applyFont="1" applyFill="1" applyBorder="1" applyAlignment="1">
      <alignment horizontal="justify" vertical="center" wrapText="1"/>
    </xf>
    <xf numFmtId="2" fontId="9" fillId="4" borderId="13" xfId="0" applyNumberFormat="1" applyFont="1" applyFill="1" applyBorder="1" applyAlignment="1" applyProtection="1">
      <alignment horizontal="center" vertical="center"/>
    </xf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colors>
    <mruColors>
      <color rgb="FFFFFFCC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3"/>
  <sheetViews>
    <sheetView tabSelected="1" topLeftCell="A2" zoomScale="78" zoomScaleNormal="78" workbookViewId="0">
      <selection activeCell="A2" sqref="A2:H2"/>
    </sheetView>
  </sheetViews>
  <sheetFormatPr defaultRowHeight="15" x14ac:dyDescent="0.25"/>
  <cols>
    <col min="1" max="1" width="20.7109375" customWidth="1"/>
    <col min="2" max="2" width="15.7109375" customWidth="1"/>
    <col min="3" max="3" width="5.7109375" customWidth="1"/>
    <col min="4" max="5" width="15.7109375" customWidth="1"/>
    <col min="6" max="6" width="5.7109375" customWidth="1"/>
    <col min="7" max="8" width="15.7109375" customWidth="1"/>
    <col min="10" max="10" width="9.42578125" customWidth="1"/>
  </cols>
  <sheetData>
    <row r="1" spans="1:12" ht="15.75" thickBot="1" x14ac:dyDescent="0.3">
      <c r="A1" s="15"/>
      <c r="B1" s="15"/>
      <c r="C1" s="15"/>
      <c r="D1" s="15"/>
      <c r="E1" s="15"/>
      <c r="F1" s="15"/>
      <c r="G1" s="15"/>
      <c r="H1" s="15"/>
    </row>
    <row r="2" spans="1:12" ht="21" customHeight="1" thickBot="1" x14ac:dyDescent="0.35">
      <c r="A2" s="68" t="s">
        <v>17</v>
      </c>
      <c r="B2" s="69"/>
      <c r="C2" s="69"/>
      <c r="D2" s="69"/>
      <c r="E2" s="69"/>
      <c r="F2" s="69"/>
      <c r="G2" s="69"/>
      <c r="H2" s="70"/>
    </row>
    <row r="3" spans="1:12" ht="21" customHeight="1" x14ac:dyDescent="0.3">
      <c r="A3" s="41"/>
      <c r="B3" s="9"/>
      <c r="C3" s="9"/>
      <c r="D3" s="9"/>
      <c r="E3" s="9"/>
      <c r="F3" s="9"/>
      <c r="G3" s="9"/>
      <c r="H3" s="21"/>
    </row>
    <row r="4" spans="1:12" ht="15.75" x14ac:dyDescent="0.25">
      <c r="A4" s="42" t="s">
        <v>18</v>
      </c>
      <c r="B4" s="67" t="s">
        <v>27</v>
      </c>
      <c r="C4" s="10"/>
      <c r="D4" s="10"/>
      <c r="E4" s="10"/>
      <c r="F4" s="10"/>
      <c r="G4" s="10"/>
      <c r="H4" s="22"/>
    </row>
    <row r="5" spans="1:12" ht="16.5" thickBot="1" x14ac:dyDescent="0.3">
      <c r="A5" s="43"/>
      <c r="B5" s="11"/>
      <c r="C5" s="11"/>
      <c r="D5" s="11"/>
      <c r="E5" s="11"/>
      <c r="F5" s="11"/>
      <c r="G5" s="11"/>
      <c r="H5" s="23"/>
      <c r="I5" s="1"/>
    </row>
    <row r="6" spans="1:12" ht="18.75" x14ac:dyDescent="0.25">
      <c r="A6" s="44" t="s">
        <v>19</v>
      </c>
      <c r="B6" s="60">
        <v>15</v>
      </c>
      <c r="C6" s="11"/>
      <c r="D6" s="5" t="s">
        <v>7</v>
      </c>
      <c r="E6" s="62">
        <v>0.52</v>
      </c>
      <c r="F6" s="11"/>
      <c r="G6" s="32" t="s">
        <v>13</v>
      </c>
      <c r="H6" s="65">
        <v>44.12</v>
      </c>
    </row>
    <row r="7" spans="1:12" ht="19.5" thickBot="1" x14ac:dyDescent="0.3">
      <c r="A7" s="45" t="s">
        <v>20</v>
      </c>
      <c r="B7" s="61">
        <v>12</v>
      </c>
      <c r="C7" s="11"/>
      <c r="D7" s="6" t="s">
        <v>8</v>
      </c>
      <c r="E7" s="63">
        <v>0.17</v>
      </c>
      <c r="F7" s="11"/>
      <c r="G7" s="33" t="s">
        <v>14</v>
      </c>
      <c r="H7" s="66">
        <v>25.44</v>
      </c>
      <c r="L7" s="3"/>
    </row>
    <row r="8" spans="1:12" ht="19.5" thickBot="1" x14ac:dyDescent="0.3">
      <c r="A8" s="46" t="s">
        <v>21</v>
      </c>
      <c r="B8" s="77">
        <f>100-gravel-pijesak</f>
        <v>73</v>
      </c>
      <c r="C8" s="11"/>
      <c r="D8" s="7" t="s">
        <v>9</v>
      </c>
      <c r="E8" s="64">
        <v>0.05</v>
      </c>
      <c r="F8" s="11"/>
      <c r="G8" s="34" t="s">
        <v>15</v>
      </c>
      <c r="H8" s="37">
        <f>wL-wP</f>
        <v>18.679999999999996</v>
      </c>
    </row>
    <row r="9" spans="1:12" ht="18.75" x14ac:dyDescent="0.25">
      <c r="A9" s="47"/>
      <c r="B9" s="11"/>
      <c r="C9" s="12"/>
      <c r="D9" s="5" t="s">
        <v>10</v>
      </c>
      <c r="E9" s="35">
        <f>D60_/D10_</f>
        <v>10.4</v>
      </c>
      <c r="F9" s="11"/>
      <c r="G9" s="12"/>
      <c r="H9" s="24"/>
      <c r="L9" s="4"/>
    </row>
    <row r="10" spans="1:12" ht="19.5" thickBot="1" x14ac:dyDescent="0.3">
      <c r="A10" s="48"/>
      <c r="B10" s="11"/>
      <c r="C10" s="11"/>
      <c r="D10" s="8" t="s">
        <v>11</v>
      </c>
      <c r="E10" s="36">
        <f>(D30_*D30_)/(D60_*D10_)</f>
        <v>1.1115384615384616</v>
      </c>
      <c r="F10" s="11"/>
      <c r="G10" s="12"/>
      <c r="H10" s="24"/>
    </row>
    <row r="11" spans="1:12" ht="9.9499999999999993" customHeight="1" x14ac:dyDescent="0.25">
      <c r="A11" s="49"/>
      <c r="B11" s="13"/>
      <c r="C11" s="13"/>
      <c r="D11" s="13"/>
      <c r="E11" s="13"/>
      <c r="F11" s="13"/>
      <c r="G11" s="13"/>
      <c r="H11" s="25"/>
      <c r="I11" s="1"/>
    </row>
    <row r="12" spans="1:12" ht="9.9499999999999993" customHeight="1" x14ac:dyDescent="0.25">
      <c r="A12" s="50"/>
      <c r="B12" s="13"/>
      <c r="C12" s="13"/>
      <c r="D12" s="13"/>
      <c r="E12" s="13"/>
      <c r="F12" s="13"/>
      <c r="G12" s="13"/>
      <c r="H12" s="25"/>
      <c r="I12" s="1"/>
    </row>
    <row r="13" spans="1:12" ht="9.9499999999999993" customHeight="1" x14ac:dyDescent="0.25">
      <c r="A13" s="51"/>
      <c r="B13" s="13"/>
      <c r="C13" s="38"/>
      <c r="D13" s="13"/>
      <c r="E13" s="13"/>
      <c r="F13" s="13"/>
      <c r="G13" s="13"/>
      <c r="H13" s="25"/>
      <c r="I13" s="1"/>
    </row>
    <row r="14" spans="1:12" ht="16.5" thickBot="1" x14ac:dyDescent="0.3">
      <c r="A14" s="52"/>
      <c r="B14" s="15"/>
      <c r="C14" s="15"/>
      <c r="D14" s="15"/>
      <c r="E14" s="13"/>
      <c r="F14" s="13"/>
      <c r="G14" s="13"/>
      <c r="H14" s="25"/>
      <c r="I14" s="1"/>
    </row>
    <row r="15" spans="1:12" ht="19.5" thickBot="1" x14ac:dyDescent="0.35">
      <c r="A15" s="53" t="s">
        <v>16</v>
      </c>
      <c r="B15" s="39"/>
      <c r="C15" s="39"/>
      <c r="D15" s="39"/>
      <c r="E15" s="39"/>
      <c r="F15" s="39"/>
      <c r="G15" s="39"/>
      <c r="H15" s="40"/>
      <c r="I15" s="1"/>
    </row>
    <row r="16" spans="1:12" ht="15.75" x14ac:dyDescent="0.25">
      <c r="A16" s="54" t="s">
        <v>28</v>
      </c>
      <c r="B16" s="11"/>
      <c r="C16" s="11"/>
      <c r="D16" s="13"/>
      <c r="E16" s="13"/>
      <c r="F16" s="13"/>
      <c r="G16" s="13"/>
      <c r="H16" s="25"/>
      <c r="I16" s="1"/>
    </row>
    <row r="17" spans="1:9" ht="15.75" x14ac:dyDescent="0.25">
      <c r="A17" s="55" t="s">
        <v>29</v>
      </c>
      <c r="B17" s="11"/>
      <c r="C17" s="11"/>
      <c r="D17" s="13"/>
      <c r="E17" s="13"/>
      <c r="F17" s="13"/>
      <c r="G17" s="13"/>
      <c r="H17" s="25"/>
      <c r="I17" s="1"/>
    </row>
    <row r="18" spans="1:9" ht="15.75" x14ac:dyDescent="0.25">
      <c r="A18" s="54" t="s">
        <v>30</v>
      </c>
      <c r="B18" s="11"/>
      <c r="C18" s="11"/>
      <c r="D18" s="13"/>
      <c r="E18" s="13"/>
      <c r="F18" s="13"/>
      <c r="G18" s="13"/>
      <c r="H18" s="25"/>
      <c r="I18" s="1"/>
    </row>
    <row r="19" spans="1:9" ht="15.75" x14ac:dyDescent="0.25">
      <c r="A19" s="54" t="s">
        <v>31</v>
      </c>
      <c r="B19" s="11"/>
      <c r="C19" s="11"/>
      <c r="D19" s="13"/>
      <c r="E19" s="13"/>
      <c r="F19" s="13"/>
      <c r="G19" s="13"/>
      <c r="H19" s="25"/>
      <c r="I19" s="1"/>
    </row>
    <row r="20" spans="1:9" ht="15.75" x14ac:dyDescent="0.25">
      <c r="A20" s="54" t="s">
        <v>34</v>
      </c>
      <c r="B20" s="11"/>
      <c r="C20" s="11"/>
      <c r="D20" s="13"/>
      <c r="E20" s="13"/>
      <c r="F20" s="13"/>
      <c r="G20" s="13"/>
      <c r="H20" s="25"/>
      <c r="I20" s="1"/>
    </row>
    <row r="21" spans="1:9" ht="9.9499999999999993" customHeight="1" x14ac:dyDescent="0.25">
      <c r="A21" s="47"/>
      <c r="B21" s="11"/>
      <c r="C21" s="11"/>
      <c r="D21" s="13"/>
      <c r="E21" s="13"/>
      <c r="F21" s="13"/>
      <c r="G21" s="13"/>
      <c r="H21" s="25"/>
      <c r="I21" s="1"/>
    </row>
    <row r="22" spans="1:9" ht="19.5" thickBot="1" x14ac:dyDescent="0.3">
      <c r="A22" s="56" t="s">
        <v>23</v>
      </c>
      <c r="B22" s="17"/>
      <c r="C22" s="18"/>
      <c r="D22" s="17"/>
      <c r="E22" s="17"/>
      <c r="F22" s="17"/>
      <c r="G22" s="16"/>
      <c r="H22" s="26" t="s">
        <v>24</v>
      </c>
      <c r="I22" s="1"/>
    </row>
    <row r="23" spans="1:9" ht="18.75" x14ac:dyDescent="0.25">
      <c r="A23" s="57" t="s">
        <v>35</v>
      </c>
      <c r="B23" s="15"/>
      <c r="C23" s="11"/>
      <c r="D23" s="15"/>
      <c r="E23" s="15"/>
      <c r="F23" s="19"/>
      <c r="G23" s="13"/>
      <c r="H23" s="27" t="s">
        <v>32</v>
      </c>
      <c r="I23" s="1"/>
    </row>
    <row r="24" spans="1:9" ht="15.75" x14ac:dyDescent="0.25">
      <c r="A24" s="58" t="s">
        <v>33</v>
      </c>
      <c r="B24" s="11"/>
      <c r="C24" s="11"/>
      <c r="D24" s="13"/>
      <c r="E24" s="13"/>
      <c r="F24" s="13"/>
      <c r="G24" s="13"/>
      <c r="H24" s="28"/>
      <c r="I24" s="1"/>
    </row>
    <row r="25" spans="1:9" ht="20.100000000000001" customHeight="1" x14ac:dyDescent="0.25">
      <c r="A25" s="47"/>
      <c r="B25" s="11"/>
      <c r="C25" s="11"/>
      <c r="D25" s="13"/>
      <c r="E25" s="13"/>
      <c r="F25" s="13"/>
      <c r="G25" s="13"/>
      <c r="H25" s="25"/>
      <c r="I25" s="1"/>
    </row>
    <row r="26" spans="1:9" ht="20.100000000000001" customHeight="1" x14ac:dyDescent="0.25">
      <c r="A26" s="52"/>
      <c r="B26" s="15"/>
      <c r="C26" s="15"/>
      <c r="D26" s="15"/>
      <c r="E26" s="13"/>
      <c r="F26" s="13"/>
      <c r="G26" s="13"/>
      <c r="H26" s="25"/>
      <c r="I26" s="1"/>
    </row>
    <row r="27" spans="1:9" ht="16.5" thickBot="1" x14ac:dyDescent="0.3">
      <c r="A27" s="52"/>
      <c r="B27" s="15"/>
      <c r="C27" s="15"/>
      <c r="D27" s="15"/>
      <c r="E27" s="13"/>
      <c r="F27" s="13"/>
      <c r="G27" s="13"/>
      <c r="H27" s="25"/>
      <c r="I27" s="1"/>
    </row>
    <row r="28" spans="1:9" ht="19.5" thickBot="1" x14ac:dyDescent="0.35">
      <c r="A28" s="53" t="s">
        <v>6</v>
      </c>
      <c r="B28" s="39"/>
      <c r="C28" s="39"/>
      <c r="D28" s="39"/>
      <c r="E28" s="39"/>
      <c r="F28" s="39"/>
      <c r="G28" s="39"/>
      <c r="H28" s="40"/>
      <c r="I28" s="1"/>
    </row>
    <row r="29" spans="1:9" ht="15.75" x14ac:dyDescent="0.25">
      <c r="A29" s="54" t="s">
        <v>28</v>
      </c>
      <c r="B29" s="11"/>
      <c r="C29" s="11"/>
      <c r="D29" s="13"/>
      <c r="E29" s="13"/>
      <c r="F29" s="13"/>
      <c r="G29" s="13"/>
      <c r="H29" s="25"/>
      <c r="I29" s="1"/>
    </row>
    <row r="30" spans="1:9" ht="15.75" x14ac:dyDescent="0.25">
      <c r="A30" s="55" t="s">
        <v>29</v>
      </c>
      <c r="B30" s="11"/>
      <c r="C30" s="11"/>
      <c r="D30" s="13"/>
      <c r="E30" s="13"/>
      <c r="F30" s="13"/>
      <c r="G30" s="13"/>
      <c r="H30" s="25"/>
      <c r="I30" s="1"/>
    </row>
    <row r="31" spans="1:9" ht="15.75" x14ac:dyDescent="0.25">
      <c r="A31" s="54" t="s">
        <v>36</v>
      </c>
      <c r="B31" s="11"/>
      <c r="C31" s="11"/>
      <c r="D31" s="13"/>
      <c r="E31" s="13"/>
      <c r="F31" s="13"/>
      <c r="G31" s="13"/>
      <c r="H31" s="25"/>
      <c r="I31" s="1"/>
    </row>
    <row r="32" spans="1:9" ht="15.75" x14ac:dyDescent="0.25">
      <c r="A32" s="54" t="s">
        <v>37</v>
      </c>
      <c r="B32" s="11"/>
      <c r="C32" s="11"/>
      <c r="D32" s="13"/>
      <c r="E32" s="13"/>
      <c r="F32" s="13"/>
      <c r="G32" s="13"/>
      <c r="H32" s="25"/>
      <c r="I32" s="1"/>
    </row>
    <row r="33" spans="1:9" ht="15.75" x14ac:dyDescent="0.25">
      <c r="A33" s="54" t="s">
        <v>34</v>
      </c>
      <c r="B33" s="11"/>
      <c r="C33" s="11"/>
      <c r="D33" s="13"/>
      <c r="E33" s="13"/>
      <c r="F33" s="13"/>
      <c r="G33" s="13"/>
      <c r="H33" s="25"/>
      <c r="I33" s="1"/>
    </row>
    <row r="34" spans="1:9" ht="9.9499999999999993" customHeight="1" x14ac:dyDescent="0.25">
      <c r="A34" s="47"/>
      <c r="B34" s="11"/>
      <c r="C34" s="11"/>
      <c r="D34" s="13"/>
      <c r="E34" s="13"/>
      <c r="F34" s="13"/>
      <c r="G34" s="13"/>
      <c r="H34" s="25"/>
      <c r="I34" s="1"/>
    </row>
    <row r="35" spans="1:9" ht="19.5" thickBot="1" x14ac:dyDescent="0.3">
      <c r="A35" s="56" t="s">
        <v>23</v>
      </c>
      <c r="B35" s="17"/>
      <c r="C35" s="18"/>
      <c r="D35" s="17"/>
      <c r="E35" s="16"/>
      <c r="F35" s="17"/>
      <c r="G35" s="16"/>
      <c r="H35" s="26" t="s">
        <v>24</v>
      </c>
      <c r="I35" s="1"/>
    </row>
    <row r="36" spans="1:9" ht="18.75" x14ac:dyDescent="0.25">
      <c r="A36" s="57" t="s">
        <v>38</v>
      </c>
      <c r="B36" s="15"/>
      <c r="C36" s="11"/>
      <c r="D36" s="15"/>
      <c r="E36" s="13"/>
      <c r="F36" s="15"/>
      <c r="G36" s="13"/>
      <c r="H36" s="29" t="s">
        <v>39</v>
      </c>
      <c r="I36" s="1"/>
    </row>
    <row r="37" spans="1:9" ht="15.75" x14ac:dyDescent="0.25">
      <c r="A37" s="51"/>
      <c r="B37" s="13"/>
      <c r="C37" s="13"/>
      <c r="D37" s="13"/>
      <c r="E37" s="13"/>
      <c r="F37" s="13"/>
      <c r="G37" s="13"/>
      <c r="H37" s="28"/>
      <c r="I37" s="1"/>
    </row>
    <row r="38" spans="1:9" ht="15.75" x14ac:dyDescent="0.25">
      <c r="A38" s="51"/>
      <c r="B38" s="13"/>
      <c r="C38" s="13"/>
      <c r="D38" s="13"/>
      <c r="E38" s="13"/>
      <c r="F38" s="13"/>
      <c r="G38" s="13"/>
      <c r="H38" s="25"/>
      <c r="I38" s="1"/>
    </row>
    <row r="39" spans="1:9" ht="15.75" x14ac:dyDescent="0.25">
      <c r="A39" s="59" t="s">
        <v>22</v>
      </c>
      <c r="B39" s="14"/>
      <c r="C39" s="14"/>
      <c r="D39" s="14"/>
      <c r="E39" s="14"/>
      <c r="F39" s="14"/>
      <c r="G39" s="14"/>
      <c r="H39" s="20"/>
      <c r="I39" s="1"/>
    </row>
    <row r="40" spans="1:9" ht="35.1" customHeight="1" x14ac:dyDescent="0.25">
      <c r="A40" s="74" t="s">
        <v>12</v>
      </c>
      <c r="B40" s="75"/>
      <c r="C40" s="75"/>
      <c r="D40" s="75"/>
      <c r="E40" s="75"/>
      <c r="F40" s="75"/>
      <c r="G40" s="75"/>
      <c r="H40" s="76"/>
      <c r="I40" s="1"/>
    </row>
    <row r="41" spans="1:9" ht="35.1" customHeight="1" x14ac:dyDescent="0.25">
      <c r="A41" s="74" t="s">
        <v>25</v>
      </c>
      <c r="B41" s="75"/>
      <c r="C41" s="75"/>
      <c r="D41" s="75"/>
      <c r="E41" s="75"/>
      <c r="F41" s="75"/>
      <c r="G41" s="75"/>
      <c r="H41" s="76"/>
      <c r="I41" s="30"/>
    </row>
    <row r="42" spans="1:9" ht="35.1" customHeight="1" thickBot="1" x14ac:dyDescent="0.3">
      <c r="A42" s="71" t="s">
        <v>26</v>
      </c>
      <c r="B42" s="72"/>
      <c r="C42" s="72"/>
      <c r="D42" s="72"/>
      <c r="E42" s="72"/>
      <c r="F42" s="72"/>
      <c r="G42" s="72"/>
      <c r="H42" s="73"/>
    </row>
    <row r="43" spans="1:9" ht="15.75" x14ac:dyDescent="0.25">
      <c r="A43" s="2"/>
      <c r="I43" s="31"/>
    </row>
  </sheetData>
  <mergeCells count="4">
    <mergeCell ref="A2:H2"/>
    <mergeCell ref="A42:H42"/>
    <mergeCell ref="A40:H40"/>
    <mergeCell ref="A41:H41"/>
  </mergeCells>
  <dataValidations count="11">
    <dataValidation type="decimal" allowBlank="1" showInputMessage="1" showErrorMessage="1" errorTitle="Ukupno (%)" error="Suma svih čstica treba biti 100 %." sqref="B9" xr:uid="{00000000-0002-0000-0000-000000000000}">
      <formula1>0</formula1>
      <formula2>100</formula2>
    </dataValidation>
    <dataValidation type="decimal" allowBlank="1" showInputMessage="1" showErrorMessage="1" errorTitle="Pijesak" error="Postotak sitnih čestica može biti između 0 i 100." sqref="B8" xr:uid="{00000000-0002-0000-0000-000001000000}">
      <formula1>0</formula1>
      <formula2>100</formula2>
    </dataValidation>
    <dataValidation type="custom" allowBlank="1" showInputMessage="1" showErrorMessage="1" errorTitle="Gravel" error="Percent od gravel must be greater than 0 and together with sand must be less than or equal to 100." sqref="B6" xr:uid="{00000000-0002-0000-0000-000002000000}">
      <formula1>AND(B6&gt;=0, B6+B7&lt;=100)</formula1>
    </dataValidation>
    <dataValidation type="custom" allowBlank="1" showInputMessage="1" showErrorMessage="1" errorTitle="Sand" error="Percent od sand must be greater than 0 and together with gravel must be less than or equal to 100." sqref="B7" xr:uid="{00000000-0002-0000-0000-000003000000}">
      <formula1>AND(B7&gt;=0, B6+B7&lt;=100)</formula1>
    </dataValidation>
    <dataValidation type="custom" operator="greaterThan" allowBlank="1" showInputMessage="1" showErrorMessage="1" errorTitle="Liquid limit" error="Liquid limit must be greater than 0 and greater than plastic limit." sqref="H6" xr:uid="{00000000-0002-0000-0000-000004000000}">
      <formula1>AND(H6&gt;=0, H7&lt;H6)</formula1>
    </dataValidation>
    <dataValidation type="custom" allowBlank="1" showInputMessage="1" showErrorMessage="1" sqref="H10" xr:uid="{00000000-0002-0000-0000-000005000000}">
      <formula1>"AND(&gt;0;&lt;wL"</formula1>
    </dataValidation>
    <dataValidation type="decimal" operator="greaterThan" allowBlank="1" showInputMessage="1" showErrorMessage="1" errorTitle="D60" error="D60 must be greater than 0." sqref="E6" xr:uid="{00000000-0002-0000-0000-000006000000}">
      <formula1>0</formula1>
    </dataValidation>
    <dataValidation type="decimal" operator="greaterThan" allowBlank="1" showInputMessage="1" showErrorMessage="1" errorTitle="D30" error="D30  must be greater than 0." sqref="E7" xr:uid="{00000000-0002-0000-0000-000007000000}">
      <formula1>0</formula1>
    </dataValidation>
    <dataValidation type="decimal" operator="greaterThan" allowBlank="1" showInputMessage="1" showErrorMessage="1" errorTitle="D10" error="D10  must be greater than 0." sqref="E8" xr:uid="{00000000-0002-0000-0000-000008000000}">
      <formula1>0</formula1>
    </dataValidation>
    <dataValidation type="custom" operator="greaterThan" allowBlank="1" showInputMessage="1" showErrorMessage="1" errorTitle="Platic limit" error="Plastic limit must be greater than 0 and less than liquid limit." sqref="H7" xr:uid="{00000000-0002-0000-0000-000009000000}">
      <formula1>AND(H7&gt;=0, H7&lt;H6)</formula1>
    </dataValidation>
    <dataValidation type="list" allowBlank="1" showInputMessage="1" showErrorMessage="1" errorTitle="Organic or inorganic soil" error="Only small leter n or y are allowed." sqref="B4" xr:uid="{00000000-0002-0000-0000-00000A000000}">
      <formula1>"y,n"</formula1>
    </dataValidation>
  </dataValidations>
  <pageMargins left="0.70866141732283472" right="0.70866141732283472" top="0.74803149606299213" bottom="0.35433070866141736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"/>
  <sheetViews>
    <sheetView zoomScale="115" zoomScaleNormal="115" workbookViewId="0">
      <selection activeCell="A7" sqref="A7"/>
    </sheetView>
  </sheetViews>
  <sheetFormatPr defaultRowHeight="15" x14ac:dyDescent="0.25"/>
  <cols>
    <col min="1" max="1" width="36.5703125" customWidth="1"/>
  </cols>
  <sheetData>
    <row r="1" spans="1:6" ht="15.75" x14ac:dyDescent="0.25">
      <c r="A1" s="2" t="s">
        <v>0</v>
      </c>
      <c r="B1" s="2"/>
      <c r="C1" s="2"/>
      <c r="D1" s="2"/>
      <c r="E1" s="2"/>
      <c r="F1" s="2"/>
    </row>
    <row r="2" spans="1:6" ht="15.75" x14ac:dyDescent="0.25">
      <c r="A2" s="2" t="s">
        <v>1</v>
      </c>
      <c r="B2" s="2"/>
      <c r="C2" s="2"/>
      <c r="D2" s="2"/>
      <c r="E2" s="2"/>
      <c r="F2" s="2"/>
    </row>
    <row r="3" spans="1:6" ht="15.75" x14ac:dyDescent="0.25">
      <c r="A3" s="2" t="s">
        <v>2</v>
      </c>
      <c r="B3" s="2"/>
      <c r="C3" s="2"/>
      <c r="D3" s="2"/>
      <c r="E3" s="2"/>
      <c r="F3" s="2"/>
    </row>
    <row r="4" spans="1:6" ht="15.75" x14ac:dyDescent="0.25">
      <c r="A4" s="2" t="s">
        <v>3</v>
      </c>
      <c r="B4" s="2"/>
      <c r="C4" s="2"/>
      <c r="D4" s="2"/>
      <c r="E4" s="2"/>
      <c r="F4" s="2"/>
    </row>
    <row r="5" spans="1:6" ht="15.75" x14ac:dyDescent="0.25">
      <c r="A5" s="2" t="s">
        <v>4</v>
      </c>
      <c r="B5" s="2"/>
      <c r="C5" s="2"/>
      <c r="D5" s="2"/>
      <c r="E5" s="2"/>
      <c r="F5" s="2"/>
    </row>
    <row r="6" spans="1:6" ht="15.75" x14ac:dyDescent="0.25">
      <c r="A6" s="2" t="s">
        <v>5</v>
      </c>
      <c r="B6" s="2"/>
      <c r="C6" s="2"/>
      <c r="D6" s="2"/>
      <c r="E6" s="2"/>
      <c r="F6" s="2"/>
    </row>
    <row r="7" spans="1:6" ht="15.75" x14ac:dyDescent="0.25">
      <c r="A7" s="2"/>
      <c r="B7" s="2"/>
      <c r="C7" s="2"/>
      <c r="D7" s="2"/>
      <c r="E7" s="2"/>
      <c r="F7" s="2"/>
    </row>
    <row r="8" spans="1:6" ht="15.75" x14ac:dyDescent="0.25">
      <c r="A8" s="2"/>
      <c r="B8" s="2"/>
      <c r="C8" s="2"/>
      <c r="D8" s="2"/>
      <c r="E8" s="2"/>
      <c r="F8" s="2"/>
    </row>
    <row r="9" spans="1:6" ht="15.75" x14ac:dyDescent="0.25">
      <c r="A9" s="2"/>
      <c r="B9" s="2"/>
      <c r="C9" s="2"/>
      <c r="D9" s="2"/>
      <c r="E9" s="2"/>
      <c r="F9" s="2"/>
    </row>
    <row r="10" spans="1:6" ht="15.75" x14ac:dyDescent="0.25">
      <c r="A10" s="2"/>
      <c r="B10" s="2"/>
      <c r="C10" s="2"/>
      <c r="D10" s="2"/>
      <c r="E10" s="2"/>
      <c r="F10" s="2"/>
    </row>
    <row r="11" spans="1:6" ht="15.75" x14ac:dyDescent="0.25">
      <c r="A11" s="2"/>
      <c r="B11" s="2"/>
      <c r="C11" s="2"/>
      <c r="D11" s="2"/>
      <c r="E11" s="2"/>
      <c r="F11" s="2"/>
    </row>
    <row r="12" spans="1:6" ht="15.75" x14ac:dyDescent="0.25">
      <c r="A12" s="2"/>
      <c r="B12" s="2"/>
      <c r="C12" s="2"/>
      <c r="D12" s="2"/>
      <c r="E12" s="2"/>
      <c r="F12" s="2"/>
    </row>
    <row r="13" spans="1:6" ht="15.75" x14ac:dyDescent="0.25">
      <c r="A13" s="2"/>
      <c r="B13" s="2"/>
      <c r="C13" s="2"/>
      <c r="D13" s="2"/>
      <c r="E13" s="2"/>
      <c r="F13" s="2"/>
    </row>
    <row r="14" spans="1:6" ht="15.75" x14ac:dyDescent="0.25">
      <c r="A14" s="2"/>
      <c r="B14" s="2"/>
      <c r="C14" s="2"/>
      <c r="D14" s="2"/>
      <c r="E14" s="2"/>
      <c r="F14" s="2"/>
    </row>
    <row r="15" spans="1:6" ht="15.75" x14ac:dyDescent="0.25">
      <c r="A15" s="2"/>
      <c r="B15" s="2"/>
      <c r="C15" s="2"/>
      <c r="D15" s="2"/>
      <c r="E15" s="2"/>
      <c r="F15" s="2"/>
    </row>
    <row r="16" spans="1:6" ht="15.75" x14ac:dyDescent="0.25">
      <c r="A16" s="2"/>
      <c r="B16" s="2"/>
      <c r="C16" s="2"/>
      <c r="D16" s="2"/>
      <c r="E16" s="2"/>
      <c r="F16" s="2"/>
    </row>
    <row r="17" spans="1:6" ht="15.75" x14ac:dyDescent="0.25">
      <c r="A17" s="2"/>
      <c r="B17" s="2"/>
      <c r="C17" s="2"/>
      <c r="D17" s="2"/>
      <c r="E17" s="2"/>
      <c r="F17" s="2"/>
    </row>
    <row r="18" spans="1:6" ht="15.75" x14ac:dyDescent="0.25">
      <c r="A18" s="2"/>
      <c r="B18" s="2"/>
      <c r="C18" s="2"/>
      <c r="D18" s="2"/>
      <c r="E18" s="2"/>
      <c r="F18" s="2"/>
    </row>
    <row r="19" spans="1:6" ht="15.75" x14ac:dyDescent="0.25">
      <c r="A19" s="2"/>
      <c r="B19" s="2"/>
      <c r="C19" s="2"/>
      <c r="D19" s="2"/>
      <c r="E19" s="2"/>
      <c r="F19" s="2"/>
    </row>
    <row r="20" spans="1:6" ht="15.75" x14ac:dyDescent="0.25">
      <c r="A20" s="2"/>
      <c r="B20" s="2"/>
      <c r="C20" s="2"/>
      <c r="D20" s="2"/>
      <c r="E20" s="2"/>
      <c r="F20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Sheet1</vt:lpstr>
      <vt:lpstr>Sheet2</vt:lpstr>
      <vt:lpstr>Sheet3</vt:lpstr>
      <vt:lpstr>cc</vt:lpstr>
      <vt:lpstr>cu</vt:lpstr>
      <vt:lpstr>D10_</vt:lpstr>
      <vt:lpstr>D30_</vt:lpstr>
      <vt:lpstr>D60_</vt:lpstr>
      <vt:lpstr>fines</vt:lpstr>
      <vt:lpstr>gravel</vt:lpstr>
      <vt:lpstr>pijesak</vt:lpstr>
      <vt:lpstr>sand</vt:lpstr>
      <vt:lpstr>send</vt:lpstr>
      <vt:lpstr>sljunak</vt:lpstr>
      <vt:lpstr>total</vt:lpstr>
      <vt:lpstr>Ukupno</vt:lpstr>
      <vt:lpstr>wL</vt:lpstr>
      <vt:lpstr>wP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MSK</dc:creator>
  <cp:lastModifiedBy>MSK</cp:lastModifiedBy>
  <cp:lastPrinted>2015-09-23T17:54:35Z</cp:lastPrinted>
  <dcterms:created xsi:type="dcterms:W3CDTF">2015-08-25T11:12:44Z</dcterms:created>
  <dcterms:modified xsi:type="dcterms:W3CDTF">2018-12-28T13:23:48Z</dcterms:modified>
</cp:coreProperties>
</file>